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asist-my.sharepoint.com/personal/jose_hidalgo_telasist_com/Documents/Escritorio/"/>
    </mc:Choice>
  </mc:AlternateContent>
  <xr:revisionPtr revIDLastSave="29" documentId="8_{7F5BF366-B317-4659-9464-A5F0AEF47434}" xr6:coauthVersionLast="47" xr6:coauthVersionMax="47" xr10:uidLastSave="{03C94BED-0A1B-42C0-A4DF-5FD9F93C93EA}"/>
  <bookViews>
    <workbookView xWindow="-108" yWindow="-108" windowWidth="23256" windowHeight="12456" xr2:uid="{BCBFC757-04D1-4F23-8376-BC16264DE53B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" i="3" l="1"/>
  <c r="I26" i="3"/>
  <c r="D25" i="3"/>
  <c r="D26" i="3" s="1"/>
  <c r="E25" i="3"/>
  <c r="E26" i="3" s="1"/>
  <c r="F25" i="3"/>
  <c r="F26" i="3" s="1"/>
  <c r="G25" i="3"/>
  <c r="G26" i="3" s="1"/>
  <c r="H25" i="3"/>
  <c r="I25" i="3"/>
  <c r="C25" i="3"/>
  <c r="I22" i="3"/>
  <c r="H22" i="3"/>
  <c r="G22" i="3"/>
  <c r="F22" i="3"/>
  <c r="E22" i="3"/>
  <c r="D22" i="3"/>
  <c r="C22" i="3"/>
  <c r="C26" i="3" s="1"/>
</calcChain>
</file>

<file path=xl/sharedStrings.xml><?xml version="1.0" encoding="utf-8"?>
<sst xmlns="http://schemas.openxmlformats.org/spreadsheetml/2006/main" count="35" uniqueCount="33">
  <si>
    <t>Tipificación</t>
  </si>
  <si>
    <t>Feb</t>
  </si>
  <si>
    <t>Mar</t>
  </si>
  <si>
    <t>Abr</t>
  </si>
  <si>
    <t>May</t>
  </si>
  <si>
    <t>Jun</t>
  </si>
  <si>
    <t>Jul</t>
  </si>
  <si>
    <t>Total</t>
  </si>
  <si>
    <t>Seguimiento a un caso</t>
  </si>
  <si>
    <t>Coordinación de asistencia</t>
  </si>
  <si>
    <t>Información de beneficios</t>
  </si>
  <si>
    <t>Se transfiere a Attn a cliente</t>
  </si>
  <si>
    <t>(Sin tipificación)</t>
  </si>
  <si>
    <t>Se corta llamada</t>
  </si>
  <si>
    <t>Información no relacionada a la asistencia</t>
  </si>
  <si>
    <t>Transferencia a Promass</t>
  </si>
  <si>
    <t>Buzón de voz / no contesta</t>
  </si>
  <si>
    <t>Escalaciones</t>
  </si>
  <si>
    <t>Número equivocado</t>
  </si>
  <si>
    <t>Pruebas Internas</t>
  </si>
  <si>
    <t>Transferencia con supervisor</t>
  </si>
  <si>
    <t>Broma</t>
  </si>
  <si>
    <t>Reembolsos / Indemnizaciones</t>
  </si>
  <si>
    <t>Comentario para el caso de uso…</t>
  </si>
  <si>
    <t>Se le proporciona al que llama el numero de atencion a clientes de coppel</t>
  </si>
  <si>
    <t>Consulta de estatus de un caso. Se tendria que preguntar el ID del caso y consultar en service el estatus.</t>
  </si>
  <si>
    <t>Dependiendo del estado de la republica en donde contrató el servicio se atiendo por nosotros o por otra asistenciadora llamada promas. Se le da el telefono de promas</t>
  </si>
  <si>
    <t>Posible queja</t>
  </si>
  <si>
    <t xml:space="preserve">Desglose de llamadas a ser atendidas por un agente de IA </t>
  </si>
  <si>
    <t>Total llamadas gestionadas por agente IA</t>
  </si>
  <si>
    <t>La teoria es que las llamadas marcadas en color amarillo puedan ser gestionadas y resueltas antes de hablar con un agente humano</t>
  </si>
  <si>
    <t>Estas llamadas en teoria se podrian contestar con acceso a la informacion del articulo de Knowledge base.</t>
  </si>
  <si>
    <t>En la columna comentario… incluimos algo de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</si>
</sst>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2" fillId="2" borderId="0" xfId="0" applyFont="1" applyFill="1"/>
    <xf numFmtId="0" fontId="0" fillId="0" borderId="1" xfId="0" applyBorder="1"/>
    <xf numFmtId="0" fontId="0" fillId="3" borderId="0" xfId="0" applyFill="1"/>
    <xf numFmtId="3" fontId="0" fillId="3" borderId="0" xfId="0" applyNumberFormat="1" applyFill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ED57-66D7-48A8-9C34-1BD30CB22C15}">
  <dimension ref="B2:K26"/>
  <sheetViews>
    <sheetView tabSelected="1" workbookViewId="0">
      <selection activeCell="B5" sqref="B5"/>
    </sheetView>
  </sheetViews>
  <sheetFormatPr baseColWidth="10" defaultRowHeight="14.4" x14ac:dyDescent="0.3"/>
  <cols>
    <col min="2" max="2" width="35" bestFit="1" customWidth="1"/>
    <col min="10" max="10" width="5" customWidth="1"/>
    <col min="11" max="11" width="27.88671875" bestFit="1" customWidth="1"/>
  </cols>
  <sheetData>
    <row r="2" spans="2:11" x14ac:dyDescent="0.3">
      <c r="B2" t="s">
        <v>28</v>
      </c>
    </row>
    <row r="3" spans="2:11" x14ac:dyDescent="0.3">
      <c r="B3" t="s">
        <v>30</v>
      </c>
    </row>
    <row r="4" spans="2:11" x14ac:dyDescent="0.3">
      <c r="B4" t="s">
        <v>32</v>
      </c>
    </row>
    <row r="6" spans="2:11" x14ac:dyDescent="0.3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K6" s="2" t="s">
        <v>23</v>
      </c>
    </row>
    <row r="7" spans="2:11" x14ac:dyDescent="0.3">
      <c r="B7" t="s">
        <v>9</v>
      </c>
      <c r="C7" s="1">
        <v>2140</v>
      </c>
      <c r="D7" s="1">
        <v>4219</v>
      </c>
      <c r="E7" s="1">
        <v>3926</v>
      </c>
      <c r="F7" s="1">
        <v>3975</v>
      </c>
      <c r="G7" s="1">
        <v>4401</v>
      </c>
      <c r="H7">
        <v>823</v>
      </c>
      <c r="I7" s="1">
        <v>19484</v>
      </c>
    </row>
    <row r="8" spans="2:11" x14ac:dyDescent="0.3">
      <c r="B8" s="4" t="s">
        <v>10</v>
      </c>
      <c r="C8" s="5">
        <v>1245</v>
      </c>
      <c r="D8" s="5">
        <v>2271</v>
      </c>
      <c r="E8" s="5">
        <v>2106</v>
      </c>
      <c r="F8" s="5">
        <v>1459</v>
      </c>
      <c r="G8" s="5">
        <v>1738</v>
      </c>
      <c r="H8" s="4">
        <v>406</v>
      </c>
      <c r="I8" s="5">
        <v>9225</v>
      </c>
      <c r="K8" t="s">
        <v>31</v>
      </c>
    </row>
    <row r="9" spans="2:11" x14ac:dyDescent="0.3">
      <c r="B9" s="4" t="s">
        <v>11</v>
      </c>
      <c r="C9" s="4">
        <v>873</v>
      </c>
      <c r="D9" s="5">
        <v>1781</v>
      </c>
      <c r="E9" s="5">
        <v>1863</v>
      </c>
      <c r="F9" s="5">
        <v>1899</v>
      </c>
      <c r="G9" s="5">
        <v>1677</v>
      </c>
      <c r="H9" s="4">
        <v>413</v>
      </c>
      <c r="I9" s="5">
        <v>8506</v>
      </c>
      <c r="K9" t="s">
        <v>24</v>
      </c>
    </row>
    <row r="10" spans="2:11" x14ac:dyDescent="0.3">
      <c r="B10" s="4" t="s">
        <v>8</v>
      </c>
      <c r="C10" s="4">
        <v>849</v>
      </c>
      <c r="D10" s="5">
        <v>1083</v>
      </c>
      <c r="E10" s="5">
        <v>1258</v>
      </c>
      <c r="F10" s="5">
        <v>1797</v>
      </c>
      <c r="G10" s="5">
        <v>1347</v>
      </c>
      <c r="H10" s="4">
        <v>209</v>
      </c>
      <c r="I10" s="5">
        <v>6543</v>
      </c>
      <c r="K10" t="s">
        <v>25</v>
      </c>
    </row>
    <row r="11" spans="2:11" x14ac:dyDescent="0.3">
      <c r="B11" s="4" t="s">
        <v>14</v>
      </c>
      <c r="C11" s="4">
        <v>264</v>
      </c>
      <c r="D11" s="4">
        <v>371</v>
      </c>
      <c r="E11" s="4">
        <v>218</v>
      </c>
      <c r="F11" s="4">
        <v>304</v>
      </c>
      <c r="G11" s="4">
        <v>258</v>
      </c>
      <c r="H11" s="4">
        <v>44</v>
      </c>
      <c r="I11" s="5">
        <v>1459</v>
      </c>
      <c r="K11" t="s">
        <v>24</v>
      </c>
    </row>
    <row r="12" spans="2:11" x14ac:dyDescent="0.3">
      <c r="B12" s="4" t="s">
        <v>15</v>
      </c>
      <c r="C12" s="4">
        <v>1</v>
      </c>
      <c r="D12" s="4">
        <v>3</v>
      </c>
      <c r="E12" s="4">
        <v>17</v>
      </c>
      <c r="F12" s="4">
        <v>429</v>
      </c>
      <c r="G12" s="4">
        <v>555</v>
      </c>
      <c r="H12" s="4">
        <v>113</v>
      </c>
      <c r="I12" s="5">
        <v>1118</v>
      </c>
      <c r="K12" t="s">
        <v>26</v>
      </c>
    </row>
    <row r="13" spans="2:11" x14ac:dyDescent="0.3">
      <c r="B13" s="4" t="s">
        <v>17</v>
      </c>
      <c r="C13" s="4">
        <v>5</v>
      </c>
      <c r="D13" s="4">
        <v>40</v>
      </c>
      <c r="E13" s="4">
        <v>205</v>
      </c>
      <c r="F13" s="4">
        <v>129</v>
      </c>
      <c r="G13" s="4">
        <v>86</v>
      </c>
      <c r="H13" s="4">
        <v>7</v>
      </c>
      <c r="I13" s="4">
        <v>472</v>
      </c>
      <c r="K13" t="s">
        <v>27</v>
      </c>
    </row>
    <row r="14" spans="2:11" x14ac:dyDescent="0.3">
      <c r="B14" s="4" t="s">
        <v>20</v>
      </c>
      <c r="C14" s="4">
        <v>5</v>
      </c>
      <c r="D14" s="4">
        <v>6</v>
      </c>
      <c r="E14" s="4">
        <v>17</v>
      </c>
      <c r="F14" s="4">
        <v>9</v>
      </c>
      <c r="G14" s="4">
        <v>1</v>
      </c>
      <c r="H14" s="4">
        <v>1</v>
      </c>
      <c r="I14" s="4">
        <v>39</v>
      </c>
      <c r="K14" t="s">
        <v>27</v>
      </c>
    </row>
    <row r="15" spans="2:11" x14ac:dyDescent="0.3">
      <c r="B15" t="s">
        <v>13</v>
      </c>
      <c r="C15">
        <v>363</v>
      </c>
      <c r="D15">
        <v>838</v>
      </c>
      <c r="E15">
        <v>855</v>
      </c>
      <c r="F15" s="1">
        <v>1009</v>
      </c>
      <c r="G15" s="1">
        <v>1012</v>
      </c>
      <c r="H15">
        <v>141</v>
      </c>
      <c r="I15" s="1">
        <v>4218</v>
      </c>
    </row>
    <row r="16" spans="2:11" x14ac:dyDescent="0.3">
      <c r="B16" t="s">
        <v>12</v>
      </c>
      <c r="C16">
        <v>217</v>
      </c>
      <c r="D16">
        <v>204</v>
      </c>
      <c r="E16">
        <v>305</v>
      </c>
      <c r="F16">
        <v>113</v>
      </c>
      <c r="G16">
        <v>232</v>
      </c>
      <c r="H16">
        <v>47</v>
      </c>
      <c r="I16" s="1">
        <v>1118</v>
      </c>
    </row>
    <row r="17" spans="2:9" x14ac:dyDescent="0.3">
      <c r="B17" t="s">
        <v>18</v>
      </c>
      <c r="C17">
        <v>19</v>
      </c>
      <c r="D17">
        <v>35</v>
      </c>
      <c r="E17">
        <v>21</v>
      </c>
      <c r="F17">
        <v>26</v>
      </c>
      <c r="G17">
        <v>15</v>
      </c>
      <c r="H17">
        <v>4</v>
      </c>
      <c r="I17">
        <v>120</v>
      </c>
    </row>
    <row r="18" spans="2:9" x14ac:dyDescent="0.3">
      <c r="B18" t="s">
        <v>19</v>
      </c>
      <c r="C18">
        <v>12</v>
      </c>
      <c r="D18">
        <v>9</v>
      </c>
      <c r="E18">
        <v>6</v>
      </c>
      <c r="F18">
        <v>1</v>
      </c>
      <c r="G18">
        <v>4</v>
      </c>
      <c r="H18">
        <v>0</v>
      </c>
      <c r="I18">
        <v>32</v>
      </c>
    </row>
    <row r="19" spans="2:9" x14ac:dyDescent="0.3">
      <c r="B19" t="s">
        <v>21</v>
      </c>
      <c r="C19">
        <v>4</v>
      </c>
      <c r="D19">
        <v>5</v>
      </c>
      <c r="E19">
        <v>2</v>
      </c>
      <c r="F19">
        <v>2</v>
      </c>
      <c r="G19">
        <v>0</v>
      </c>
      <c r="H19">
        <v>0</v>
      </c>
      <c r="I19">
        <v>13</v>
      </c>
    </row>
    <row r="20" spans="2:9" x14ac:dyDescent="0.3">
      <c r="B20" t="s">
        <v>16</v>
      </c>
      <c r="C20">
        <v>0</v>
      </c>
      <c r="D20">
        <v>0</v>
      </c>
      <c r="E20">
        <v>0</v>
      </c>
      <c r="F20">
        <v>0</v>
      </c>
      <c r="G20">
        <v>9</v>
      </c>
      <c r="H20">
        <v>0</v>
      </c>
      <c r="I20">
        <v>9</v>
      </c>
    </row>
    <row r="21" spans="2:9" x14ac:dyDescent="0.3">
      <c r="B21" s="3" t="s">
        <v>22</v>
      </c>
      <c r="C21" s="3">
        <v>4</v>
      </c>
      <c r="D21" s="3">
        <v>1</v>
      </c>
      <c r="E21" s="3">
        <v>2</v>
      </c>
      <c r="F21" s="3">
        <v>1</v>
      </c>
      <c r="G21" s="3">
        <v>0</v>
      </c>
      <c r="H21" s="3">
        <v>0</v>
      </c>
      <c r="I21" s="3">
        <v>8</v>
      </c>
    </row>
    <row r="22" spans="2:9" x14ac:dyDescent="0.3">
      <c r="C22" s="1">
        <f>SUM(C7:C21)</f>
        <v>6001</v>
      </c>
      <c r="D22" s="1">
        <f t="shared" ref="D22:I22" si="0">SUM(D7:D21)</f>
        <v>10866</v>
      </c>
      <c r="E22" s="1">
        <f t="shared" si="0"/>
        <v>10801</v>
      </c>
      <c r="F22" s="1">
        <f t="shared" si="0"/>
        <v>11153</v>
      </c>
      <c r="G22" s="1">
        <f t="shared" si="0"/>
        <v>11335</v>
      </c>
      <c r="H22" s="1">
        <f t="shared" si="0"/>
        <v>2208</v>
      </c>
      <c r="I22" s="1">
        <f t="shared" si="0"/>
        <v>52364</v>
      </c>
    </row>
    <row r="25" spans="2:9" x14ac:dyDescent="0.3">
      <c r="B25" t="s">
        <v>29</v>
      </c>
      <c r="C25" s="1">
        <f>SUM(C8:C14)</f>
        <v>3242</v>
      </c>
      <c r="D25" s="1">
        <f t="shared" ref="D25:I25" si="1">SUM(D8:D14)</f>
        <v>5555</v>
      </c>
      <c r="E25" s="1">
        <f t="shared" si="1"/>
        <v>5684</v>
      </c>
      <c r="F25" s="1">
        <f t="shared" si="1"/>
        <v>6026</v>
      </c>
      <c r="G25" s="1">
        <f t="shared" si="1"/>
        <v>5662</v>
      </c>
      <c r="H25" s="1">
        <f t="shared" si="1"/>
        <v>1193</v>
      </c>
      <c r="I25" s="1">
        <f t="shared" si="1"/>
        <v>27362</v>
      </c>
    </row>
    <row r="26" spans="2:9" x14ac:dyDescent="0.3">
      <c r="C26" s="6">
        <f>C25/C22</f>
        <v>0.54024329278453587</v>
      </c>
      <c r="D26" s="6">
        <f t="shared" ref="D26:I26" si="2">D25/D22</f>
        <v>0.51122768267991903</v>
      </c>
      <c r="E26" s="6">
        <f t="shared" si="2"/>
        <v>0.52624756966947506</v>
      </c>
      <c r="F26" s="6">
        <f t="shared" si="2"/>
        <v>0.54030305747332552</v>
      </c>
      <c r="G26" s="6">
        <f t="shared" si="2"/>
        <v>0.49951477723864135</v>
      </c>
      <c r="H26" s="6">
        <f t="shared" si="2"/>
        <v>0.54030797101449279</v>
      </c>
      <c r="I26" s="6">
        <f t="shared" si="2"/>
        <v>0.52253456573218238</v>
      </c>
    </row>
  </sheetData>
  <pageMargins left="0.7" right="0.7" top="0.75" bottom="0.75" header="0.3" footer="0.3"/>
  <ignoredErrors>
    <ignoredError sqref="C25:I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Hidalgo Garza</dc:creator>
  <cp:lastModifiedBy>Jose Luis Hidalgo Garza</cp:lastModifiedBy>
  <dcterms:created xsi:type="dcterms:W3CDTF">2026-07-03T14:11:58Z</dcterms:created>
  <dcterms:modified xsi:type="dcterms:W3CDTF">2026-07-06T23:14:02Z</dcterms:modified>
</cp:coreProperties>
</file>